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ildoshi/Library/Mobile Documents/com~apple~CloudDocs/Somil/Loan/"/>
    </mc:Choice>
  </mc:AlternateContent>
  <xr:revisionPtr revIDLastSave="0" documentId="13_ncr:1_{6B674F72-0410-7040-B416-3F2BE4CD355E}" xr6:coauthVersionLast="47" xr6:coauthVersionMax="47" xr10:uidLastSave="{00000000-0000-0000-0000-000000000000}"/>
  <bookViews>
    <workbookView xWindow="0" yWindow="660" windowWidth="29400" windowHeight="16640" xr2:uid="{84C48F66-1484-CE47-8A61-D14FC36697A9}"/>
  </bookViews>
  <sheets>
    <sheet name="Jain" sheetId="1" r:id="rId1"/>
    <sheet name="HDFC (May 2026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B18" i="4"/>
  <c r="E14" i="4"/>
  <c r="C14" i="4"/>
  <c r="B14" i="4"/>
  <c r="G5" i="4"/>
  <c r="G3" i="4"/>
  <c r="G2" i="4"/>
  <c r="G9" i="1"/>
  <c r="D9" i="1"/>
  <c r="B9" i="1"/>
  <c r="F3" i="1"/>
  <c r="F4" i="1"/>
  <c r="F5" i="1"/>
  <c r="F6" i="1"/>
  <c r="F7" i="1"/>
  <c r="F2" i="1"/>
  <c r="G14" i="4" l="1"/>
  <c r="D14" i="4"/>
  <c r="B21" i="4"/>
  <c r="B22" i="4" s="1"/>
  <c r="B16" i="4"/>
  <c r="F9" i="1"/>
</calcChain>
</file>

<file path=xl/sharedStrings.xml><?xml version="1.0" encoding="utf-8"?>
<sst xmlns="http://schemas.openxmlformats.org/spreadsheetml/2006/main" count="26" uniqueCount="24">
  <si>
    <t>Trust Name</t>
  </si>
  <si>
    <t>Date Disburse</t>
  </si>
  <si>
    <t>Total</t>
  </si>
  <si>
    <t>Repayment Start</t>
  </si>
  <si>
    <t>Repayment Amount</t>
  </si>
  <si>
    <t>Kahan Raj Sarvodaya Trust</t>
  </si>
  <si>
    <t>Jain Jagruti</t>
  </si>
  <si>
    <t>SMJV (India)</t>
  </si>
  <si>
    <t>JITO</t>
  </si>
  <si>
    <t>TOTAL</t>
  </si>
  <si>
    <t>Jain Yuva Sangh</t>
  </si>
  <si>
    <t>Interest Paid</t>
  </si>
  <si>
    <t>Interest Paid Till</t>
  </si>
  <si>
    <t>Interest</t>
  </si>
  <si>
    <t>Interest Left</t>
  </si>
  <si>
    <t>Amount Now</t>
  </si>
  <si>
    <t>Principle + Interest Left</t>
  </si>
  <si>
    <t>Payment Date</t>
  </si>
  <si>
    <t>Principle</t>
  </si>
  <si>
    <t>SMJV (USA $5000)</t>
  </si>
  <si>
    <t>Repayment</t>
  </si>
  <si>
    <t xml:space="preserve">Total Principal </t>
  </si>
  <si>
    <t>Total Amount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</si>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</sst>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"/>
    <numFmt numFmtId="165" formatCode="[$-809]d\ mmmm\ yyyy;@"/>
    <numFmt numFmtId="166" formatCode="[$₹-4009]\ #,##0.00;[Red][$₹-4009]\ \-#,##0.00"/>
    <numFmt numFmtId="167" formatCode="[$₹-4009]\ #,##0;[Red][$₹-4009]\ \-#,##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5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7" fontId="0" fillId="4" borderId="2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7" fontId="0" fillId="5" borderId="2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5" fontId="0" fillId="5" borderId="3" xfId="0" applyNumberFormat="1" applyFill="1" applyBorder="1" applyAlignment="1">
      <alignment horizontal="center" vertical="center"/>
    </xf>
    <xf numFmtId="167" fontId="4" fillId="3" borderId="7" xfId="0" applyNumberFormat="1" applyFont="1" applyFill="1" applyBorder="1" applyAlignment="1">
      <alignment horizontal="center" vertical="center"/>
    </xf>
    <xf numFmtId="167" fontId="4" fillId="4" borderId="7" xfId="0" applyNumberFormat="1" applyFont="1" applyFill="1" applyBorder="1" applyAlignment="1">
      <alignment horizontal="center" vertical="center"/>
    </xf>
    <xf numFmtId="167" fontId="4" fillId="5" borderId="7" xfId="0" applyNumberFormat="1" applyFont="1" applyFill="1" applyBorder="1" applyAlignment="1">
      <alignment horizontal="center" vertical="center"/>
    </xf>
    <xf numFmtId="167" fontId="4" fillId="5" borderId="8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0" fillId="3" borderId="3" xfId="0" applyNumberForma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167" fontId="0" fillId="5" borderId="3" xfId="0" applyNumberFormat="1" applyFill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167" fontId="0" fillId="4" borderId="11" xfId="0" applyNumberFormat="1" applyFill="1" applyBorder="1" applyAlignment="1">
      <alignment horizontal="center" vertical="center"/>
    </xf>
    <xf numFmtId="165" fontId="0" fillId="5" borderId="11" xfId="0" applyNumberFormat="1" applyFill="1" applyBorder="1" applyAlignment="1">
      <alignment horizontal="center" vertical="center"/>
    </xf>
    <xf numFmtId="167" fontId="0" fillId="5" borderId="11" xfId="0" applyNumberForma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7" fontId="0" fillId="3" borderId="10" xfId="0" applyNumberFormat="1" applyFill="1" applyBorder="1" applyAlignment="1">
      <alignment horizontal="center" vertical="center"/>
    </xf>
    <xf numFmtId="167" fontId="0" fillId="4" borderId="10" xfId="0" applyNumberFormat="1" applyFill="1" applyBorder="1" applyAlignment="1">
      <alignment horizontal="center" vertical="center"/>
    </xf>
    <xf numFmtId="165" fontId="0" fillId="5" borderId="10" xfId="0" applyNumberForma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167" fontId="5" fillId="7" borderId="1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C308-D08D-2743-A92E-41A85BEA758C}">
  <dimension ref="A1:H24"/>
  <sheetViews>
    <sheetView tabSelected="1" zoomScale="139" zoomScaleNormal="140" workbookViewId="0">
      <selection activeCell="F18" sqref="F18"/>
    </sheetView>
  </sheetViews>
  <sheetFormatPr baseColWidth="10" defaultRowHeight="16" x14ac:dyDescent="0.2"/>
  <cols>
    <col min="1" max="1" width="34.33203125" style="1" customWidth="1"/>
    <col min="2" max="2" width="19.5" style="1" customWidth="1"/>
    <col min="3" max="3" width="15.33203125" style="1" customWidth="1"/>
    <col min="4" max="4" width="21.83203125" style="1" customWidth="1"/>
    <col min="5" max="5" width="14.83203125" style="1" customWidth="1"/>
    <col min="6" max="6" width="18.33203125" style="1" customWidth="1"/>
    <col min="7" max="7" width="20.33203125" style="1" customWidth="1"/>
    <col min="8" max="8" width="21" style="1" customWidth="1"/>
    <col min="9" max="16384" width="10.83203125" style="1"/>
  </cols>
  <sheetData>
    <row r="1" spans="1:8" ht="17" thickBot="1" x14ac:dyDescent="0.25">
      <c r="A1" s="30" t="s">
        <v>0</v>
      </c>
      <c r="B1" s="32" t="s">
        <v>1</v>
      </c>
      <c r="C1" s="32">
        <v>2024</v>
      </c>
      <c r="D1" s="33" t="s">
        <v>1</v>
      </c>
      <c r="E1" s="33">
        <v>2025</v>
      </c>
      <c r="F1" s="34" t="s">
        <v>2</v>
      </c>
      <c r="G1" s="35" t="s">
        <v>3</v>
      </c>
      <c r="H1" s="36" t="s">
        <v>4</v>
      </c>
    </row>
    <row r="2" spans="1:8" x14ac:dyDescent="0.2">
      <c r="A2" s="14" t="s">
        <v>5</v>
      </c>
      <c r="B2" s="15">
        <v>45469</v>
      </c>
      <c r="C2" s="16">
        <v>250000</v>
      </c>
      <c r="D2" s="17">
        <v>45869</v>
      </c>
      <c r="E2" s="18">
        <v>250000</v>
      </c>
      <c r="F2" s="19">
        <f>C2+E2</f>
        <v>500000</v>
      </c>
      <c r="G2" s="20"/>
      <c r="H2" s="21">
        <v>30000</v>
      </c>
    </row>
    <row r="3" spans="1:8" x14ac:dyDescent="0.2">
      <c r="A3" s="4" t="s">
        <v>6</v>
      </c>
      <c r="B3" s="9">
        <v>45469</v>
      </c>
      <c r="C3" s="10">
        <v>300000</v>
      </c>
      <c r="D3" s="11">
        <v>45869</v>
      </c>
      <c r="E3" s="12">
        <v>300000</v>
      </c>
      <c r="F3" s="13">
        <f t="shared" ref="F3:F7" si="0">C3+E3</f>
        <v>600000</v>
      </c>
      <c r="G3" s="5">
        <v>45874</v>
      </c>
      <c r="H3" s="6">
        <v>50000</v>
      </c>
    </row>
    <row r="4" spans="1:8" x14ac:dyDescent="0.2">
      <c r="A4" s="4" t="s">
        <v>7</v>
      </c>
      <c r="B4" s="9">
        <v>45465</v>
      </c>
      <c r="C4" s="10">
        <v>300000</v>
      </c>
      <c r="D4" s="11">
        <v>45862</v>
      </c>
      <c r="E4" s="12">
        <v>350000</v>
      </c>
      <c r="F4" s="13">
        <f t="shared" si="0"/>
        <v>650000</v>
      </c>
      <c r="G4" s="5"/>
      <c r="H4" s="6">
        <v>50000</v>
      </c>
    </row>
    <row r="5" spans="1:8" x14ac:dyDescent="0.2">
      <c r="A5" s="4" t="s">
        <v>19</v>
      </c>
      <c r="B5" s="7"/>
      <c r="C5" s="8"/>
      <c r="D5" s="11">
        <v>45939</v>
      </c>
      <c r="E5" s="12">
        <v>450000</v>
      </c>
      <c r="F5" s="13">
        <f t="shared" si="0"/>
        <v>450000</v>
      </c>
      <c r="G5" s="5"/>
      <c r="H5" s="6"/>
    </row>
    <row r="6" spans="1:8" x14ac:dyDescent="0.2">
      <c r="A6" s="4" t="s">
        <v>8</v>
      </c>
      <c r="B6" s="9">
        <v>45399</v>
      </c>
      <c r="C6" s="10">
        <v>500000</v>
      </c>
      <c r="D6" s="7"/>
      <c r="E6" s="8"/>
      <c r="F6" s="13">
        <f t="shared" si="0"/>
        <v>500000</v>
      </c>
      <c r="G6" s="5">
        <v>46204</v>
      </c>
      <c r="H6" s="6">
        <v>100000</v>
      </c>
    </row>
    <row r="7" spans="1:8" x14ac:dyDescent="0.2">
      <c r="A7" s="4" t="s">
        <v>10</v>
      </c>
      <c r="B7" s="9">
        <v>45499</v>
      </c>
      <c r="C7" s="10">
        <v>200000</v>
      </c>
      <c r="D7" s="25">
        <v>45986</v>
      </c>
      <c r="E7" s="26">
        <v>100000</v>
      </c>
      <c r="F7" s="13">
        <f t="shared" si="0"/>
        <v>300000</v>
      </c>
      <c r="G7" s="5"/>
      <c r="H7" s="6"/>
    </row>
    <row r="8" spans="1:8" ht="17" thickBot="1" x14ac:dyDescent="0.25">
      <c r="A8" s="22"/>
      <c r="B8" s="23"/>
      <c r="C8" s="24"/>
      <c r="D8" s="25"/>
      <c r="E8" s="26"/>
      <c r="F8" s="27"/>
      <c r="G8" s="28"/>
      <c r="H8" s="29"/>
    </row>
    <row r="9" spans="1:8" ht="17" thickBot="1" x14ac:dyDescent="0.25">
      <c r="A9" s="30" t="s">
        <v>9</v>
      </c>
      <c r="B9" s="78">
        <f>SUM(C2:C8)</f>
        <v>1550000</v>
      </c>
      <c r="C9" s="79"/>
      <c r="D9" s="80">
        <f>SUM(E2:E8)</f>
        <v>1450000</v>
      </c>
      <c r="E9" s="81"/>
      <c r="F9" s="31">
        <f>SUM(F2:F8)</f>
        <v>3000000</v>
      </c>
      <c r="G9" s="82">
        <f>SUM(H2:H8)</f>
        <v>230000</v>
      </c>
      <c r="H9" s="83"/>
    </row>
    <row r="10" spans="1:8" x14ac:dyDescent="0.2">
      <c r="B10" s="3"/>
      <c r="C10" s="2"/>
      <c r="D10" s="3"/>
      <c r="E10" s="2"/>
      <c r="F10" s="2"/>
      <c r="G10" s="3"/>
      <c r="H10" s="2"/>
    </row>
    <row r="11" spans="1:8" x14ac:dyDescent="0.2">
      <c r="B11" s="3"/>
      <c r="C11" s="2"/>
      <c r="D11" s="3"/>
      <c r="E11" s="2"/>
      <c r="F11" s="2"/>
      <c r="G11" s="3"/>
      <c r="H11" s="2"/>
    </row>
    <row r="12" spans="1:8" x14ac:dyDescent="0.2">
      <c r="B12" s="3"/>
      <c r="C12" s="2"/>
      <c r="D12" s="3"/>
      <c r="E12" s="2"/>
      <c r="F12" s="2"/>
      <c r="G12" s="3"/>
      <c r="H12" s="2"/>
    </row>
    <row r="13" spans="1:8" x14ac:dyDescent="0.2">
      <c r="B13" s="3"/>
      <c r="C13" s="2"/>
      <c r="D13" s="3"/>
      <c r="E13" s="2"/>
      <c r="F13" s="2"/>
      <c r="G13" s="3"/>
      <c r="H13" s="2"/>
    </row>
    <row r="14" spans="1:8" x14ac:dyDescent="0.2">
      <c r="B14" s="3"/>
      <c r="C14" s="2"/>
      <c r="D14" s="3"/>
      <c r="E14" s="2"/>
      <c r="F14" s="2"/>
      <c r="G14" s="3"/>
      <c r="H14" s="2"/>
    </row>
    <row r="15" spans="1:8" x14ac:dyDescent="0.2">
      <c r="B15" s="3"/>
      <c r="C15" s="2"/>
      <c r="D15" s="3"/>
      <c r="E15" s="2"/>
      <c r="F15" s="2"/>
      <c r="G15" s="3"/>
      <c r="H15" s="2"/>
    </row>
    <row r="16" spans="1:8" x14ac:dyDescent="0.2">
      <c r="B16" s="3"/>
      <c r="C16" s="2"/>
      <c r="D16" s="3"/>
      <c r="E16" s="2"/>
      <c r="F16" s="2"/>
      <c r="G16" s="3"/>
      <c r="H16" s="2"/>
    </row>
    <row r="17" spans="2:8" x14ac:dyDescent="0.2">
      <c r="B17" s="3"/>
      <c r="C17" s="2"/>
      <c r="D17" s="3"/>
      <c r="E17" s="2"/>
      <c r="F17" s="2"/>
      <c r="G17" s="3"/>
      <c r="H17" s="2"/>
    </row>
    <row r="18" spans="2:8" x14ac:dyDescent="0.2">
      <c r="B18" s="3"/>
      <c r="C18" s="2"/>
      <c r="D18" s="3"/>
      <c r="E18" s="2"/>
      <c r="F18" s="2"/>
      <c r="G18" s="3"/>
      <c r="H18" s="2"/>
    </row>
    <row r="19" spans="2:8" x14ac:dyDescent="0.2">
      <c r="B19" s="3"/>
      <c r="C19" s="2"/>
      <c r="D19" s="3"/>
      <c r="E19" s="2"/>
      <c r="F19" s="2"/>
      <c r="G19" s="3"/>
      <c r="H19" s="2"/>
    </row>
    <row r="20" spans="2:8" x14ac:dyDescent="0.2">
      <c r="B20" s="3"/>
      <c r="C20" s="2"/>
      <c r="D20" s="3"/>
      <c r="E20" s="2"/>
      <c r="F20" s="2"/>
      <c r="G20" s="3"/>
      <c r="H20" s="2"/>
    </row>
    <row r="21" spans="2:8" x14ac:dyDescent="0.2">
      <c r="B21" s="3"/>
      <c r="D21" s="3"/>
      <c r="E21" s="2"/>
      <c r="F21" s="2"/>
      <c r="G21" s="3"/>
      <c r="H21" s="2"/>
    </row>
    <row r="22" spans="2:8" x14ac:dyDescent="0.2">
      <c r="B22" s="3"/>
      <c r="D22" s="3"/>
      <c r="E22" s="2"/>
      <c r="G22" s="3"/>
    </row>
    <row r="23" spans="2:8" x14ac:dyDescent="0.2">
      <c r="E23" s="2"/>
    </row>
    <row r="24" spans="2:8" x14ac:dyDescent="0.2">
      <c r="E24" s="2"/>
    </row>
  </sheetData>
  <mergeCells count="3">
    <mergeCell ref="B9:C9"/>
    <mergeCell ref="D9:E9"/>
    <mergeCell ref="G9:H9"/>
  </mergeCells>
  <phoneticPr fontId="3" type="noConversion"/>
  <pageMargins left="0.7" right="0.7" top="0.75" bottom="0.75" header="0.3" footer="0.3"/>
  <pageSetup orientation="portrait" horizontalDpi="0" verticalDpi="0"/>
  <ignoredErrors>
    <ignoredError sqref="B9 D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43AE-3212-D54C-966F-3B5421E62111}">
  <dimension ref="A1:G22"/>
  <sheetViews>
    <sheetView zoomScale="160" zoomScaleNormal="160" workbookViewId="0">
      <selection activeCell="E18" sqref="E18"/>
    </sheetView>
  </sheetViews>
  <sheetFormatPr baseColWidth="10" defaultRowHeight="16" x14ac:dyDescent="0.2"/>
  <cols>
    <col min="1" max="1" width="24" style="37" customWidth="1"/>
    <col min="2" max="3" width="15.6640625" style="37" customWidth="1"/>
    <col min="4" max="4" width="16.5" style="37" customWidth="1"/>
    <col min="5" max="5" width="15.6640625" style="37" customWidth="1"/>
    <col min="6" max="7" width="24.1640625" style="37" customWidth="1"/>
    <col min="8" max="16384" width="10.83203125" style="37"/>
  </cols>
  <sheetData>
    <row r="1" spans="1:7" ht="17" thickBot="1" x14ac:dyDescent="0.25">
      <c r="A1" s="41" t="s">
        <v>17</v>
      </c>
      <c r="B1" s="43" t="s">
        <v>18</v>
      </c>
      <c r="C1" s="43" t="s">
        <v>15</v>
      </c>
      <c r="D1" s="46" t="s">
        <v>13</v>
      </c>
      <c r="E1" s="46" t="s">
        <v>11</v>
      </c>
      <c r="F1" s="49" t="s">
        <v>12</v>
      </c>
      <c r="G1" s="50" t="s">
        <v>14</v>
      </c>
    </row>
    <row r="2" spans="1:7" x14ac:dyDescent="0.2">
      <c r="A2" s="40">
        <v>45502</v>
      </c>
      <c r="B2" s="44">
        <v>100000</v>
      </c>
      <c r="C2" s="44">
        <v>100847</v>
      </c>
      <c r="D2" s="47">
        <v>950</v>
      </c>
      <c r="E2" s="47">
        <v>100</v>
      </c>
      <c r="F2" s="51">
        <v>46153</v>
      </c>
      <c r="G2" s="52">
        <f>D2-E2</f>
        <v>850</v>
      </c>
    </row>
    <row r="3" spans="1:7" x14ac:dyDescent="0.2">
      <c r="A3" s="39">
        <v>45649</v>
      </c>
      <c r="B3" s="45">
        <v>950000</v>
      </c>
      <c r="C3" s="45">
        <v>349570</v>
      </c>
      <c r="D3" s="47">
        <v>3299</v>
      </c>
      <c r="E3" s="48">
        <v>950</v>
      </c>
      <c r="F3" s="53">
        <v>46153</v>
      </c>
      <c r="G3" s="54">
        <f t="shared" ref="G3:G5" si="0">D3-E3</f>
        <v>2349</v>
      </c>
    </row>
    <row r="4" spans="1:7" x14ac:dyDescent="0.2">
      <c r="A4" s="39">
        <v>45882</v>
      </c>
      <c r="B4" s="45">
        <v>100000</v>
      </c>
      <c r="C4" s="45">
        <v>0</v>
      </c>
      <c r="D4" s="47">
        <v>0</v>
      </c>
      <c r="E4" s="48">
        <v>0</v>
      </c>
      <c r="F4" s="53">
        <v>45923</v>
      </c>
      <c r="G4" s="54">
        <v>0</v>
      </c>
    </row>
    <row r="5" spans="1:7" ht="17" thickBot="1" x14ac:dyDescent="0.25">
      <c r="A5" s="70">
        <v>46051</v>
      </c>
      <c r="B5" s="71">
        <v>1000000</v>
      </c>
      <c r="C5" s="71">
        <v>695467</v>
      </c>
      <c r="D5" s="72">
        <v>6554</v>
      </c>
      <c r="E5" s="72">
        <v>1000</v>
      </c>
      <c r="F5" s="73">
        <v>46153</v>
      </c>
      <c r="G5" s="74">
        <f t="shared" si="0"/>
        <v>5554</v>
      </c>
    </row>
    <row r="6" spans="1:7" x14ac:dyDescent="0.2">
      <c r="A6" s="65"/>
      <c r="B6" s="66"/>
      <c r="C6" s="66"/>
      <c r="D6" s="67"/>
      <c r="E6" s="67"/>
      <c r="F6" s="68"/>
      <c r="G6" s="69"/>
    </row>
    <row r="7" spans="1:7" x14ac:dyDescent="0.2">
      <c r="A7" s="42">
        <v>45923</v>
      </c>
      <c r="B7" s="62">
        <v>-12370</v>
      </c>
      <c r="C7" s="62"/>
      <c r="D7" s="63"/>
      <c r="E7" s="63"/>
      <c r="F7" s="55"/>
      <c r="G7" s="64"/>
    </row>
    <row r="8" spans="1:7" x14ac:dyDescent="0.2">
      <c r="A8" s="42">
        <v>45923</v>
      </c>
      <c r="B8" s="62">
        <v>-236425</v>
      </c>
      <c r="C8" s="62"/>
      <c r="D8" s="63"/>
      <c r="E8" s="63"/>
      <c r="F8" s="55"/>
      <c r="G8" s="64"/>
    </row>
    <row r="9" spans="1:7" x14ac:dyDescent="0.2">
      <c r="A9" s="42">
        <v>45923</v>
      </c>
      <c r="B9" s="62">
        <v>-101205</v>
      </c>
      <c r="C9" s="62"/>
      <c r="D9" s="63"/>
      <c r="E9" s="63"/>
      <c r="F9" s="55"/>
      <c r="G9" s="64"/>
    </row>
    <row r="10" spans="1:7" x14ac:dyDescent="0.2">
      <c r="A10" s="42">
        <v>45953</v>
      </c>
      <c r="B10" s="62">
        <v>-860</v>
      </c>
      <c r="C10" s="62"/>
      <c r="D10" s="63"/>
      <c r="E10" s="63"/>
      <c r="F10" s="55"/>
      <c r="G10" s="64"/>
    </row>
    <row r="11" spans="1:7" x14ac:dyDescent="0.2">
      <c r="A11" s="42">
        <v>45953</v>
      </c>
      <c r="B11" s="62">
        <v>-449140</v>
      </c>
      <c r="C11" s="62"/>
      <c r="D11" s="63"/>
      <c r="E11" s="63"/>
      <c r="F11" s="55"/>
      <c r="G11" s="64"/>
    </row>
    <row r="12" spans="1:7" x14ac:dyDescent="0.2">
      <c r="A12" s="42">
        <v>46111</v>
      </c>
      <c r="B12" s="62">
        <v>-350000</v>
      </c>
      <c r="C12" s="62"/>
      <c r="D12" s="63"/>
      <c r="E12" s="63"/>
      <c r="F12" s="55"/>
      <c r="G12" s="64"/>
    </row>
    <row r="13" spans="1:7" ht="17" thickBot="1" x14ac:dyDescent="0.25">
      <c r="A13" s="42"/>
      <c r="B13" s="62"/>
      <c r="C13" s="62"/>
      <c r="D13" s="63"/>
      <c r="E13" s="63"/>
      <c r="F13" s="55"/>
      <c r="G13" s="64"/>
    </row>
    <row r="14" spans="1:7" ht="17" thickBot="1" x14ac:dyDescent="0.25">
      <c r="A14" s="41" t="s">
        <v>2</v>
      </c>
      <c r="B14" s="56">
        <f>SUM(B2:B13)</f>
        <v>1000000</v>
      </c>
      <c r="C14" s="56">
        <f>SUM(C2:C13)</f>
        <v>1145884</v>
      </c>
      <c r="D14" s="57">
        <f>SUM(D2:D13)</f>
        <v>10803</v>
      </c>
      <c r="E14" s="57">
        <f>SUM(E2:E13)</f>
        <v>2050</v>
      </c>
      <c r="F14" s="58"/>
      <c r="G14" s="59">
        <f>SUM(G2:G13)</f>
        <v>8753</v>
      </c>
    </row>
    <row r="15" spans="1:7" x14ac:dyDescent="0.2">
      <c r="B15" s="38"/>
      <c r="C15" s="38"/>
      <c r="D15" s="38"/>
      <c r="E15" s="38"/>
      <c r="F15" s="38"/>
      <c r="G15" s="38"/>
    </row>
    <row r="16" spans="1:7" x14ac:dyDescent="0.2">
      <c r="A16" s="60" t="s">
        <v>16</v>
      </c>
      <c r="B16" s="61">
        <f>B14+G14</f>
        <v>1008753</v>
      </c>
      <c r="C16" s="38"/>
      <c r="D16" s="38"/>
      <c r="E16" s="38"/>
      <c r="F16" s="38"/>
      <c r="G16" s="38"/>
    </row>
    <row r="17" spans="1:7" x14ac:dyDescent="0.2">
      <c r="D17" s="38"/>
      <c r="E17" s="38"/>
      <c r="F17" s="38"/>
      <c r="G17" s="38"/>
    </row>
    <row r="18" spans="1:7" x14ac:dyDescent="0.2">
      <c r="A18" s="60" t="s">
        <v>20</v>
      </c>
      <c r="B18" s="61">
        <f>SUM(B6:B13)*-1</f>
        <v>1150000</v>
      </c>
    </row>
    <row r="19" spans="1:7" x14ac:dyDescent="0.2">
      <c r="A19" s="75"/>
      <c r="B19" s="75"/>
    </row>
    <row r="20" spans="1:7" x14ac:dyDescent="0.2">
      <c r="A20" s="76" t="s">
        <v>21</v>
      </c>
      <c r="B20" s="77">
        <f>SUM(B2:B5)</f>
        <v>2150000</v>
      </c>
    </row>
    <row r="21" spans="1:7" x14ac:dyDescent="0.2">
      <c r="A21" s="76" t="s">
        <v>22</v>
      </c>
      <c r="B21" s="77">
        <f>B18+C14</f>
        <v>2295884</v>
      </c>
    </row>
    <row r="22" spans="1:7" x14ac:dyDescent="0.2">
      <c r="A22" s="76" t="s">
        <v>23</v>
      </c>
      <c r="B22" s="77">
        <f>B21-B20</f>
        <v>145884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Jain</vt:lpstr>
      <vt:lpstr>HDFC (May 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Doshi, Somil N</dc:creator>
  <cp:lastModifiedBy>Doshi, Somil N</cp:lastModifiedBy>
  <dcterms:created xsi:type="dcterms:W3CDTF">2025-09-13T06:35:32Z</dcterms:created>
  <dcterms:modified xsi:type="dcterms:W3CDTF">2026-05-10T17:02:24Z</dcterms:modified>
</cp:coreProperties>
</file>